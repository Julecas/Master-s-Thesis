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lpt-my.sharepoint.com/personal/jafe_lopes_fct_unl_pt/Documents/Mestrado/5 ano/2º Semestre (Tese)/annex_flows/"/>
    </mc:Choice>
  </mc:AlternateContent>
  <xr:revisionPtr revIDLastSave="1" documentId="8_{CCC06734-F071-4FDE-A0ED-3B06938B9E2E}" xr6:coauthVersionLast="47" xr6:coauthVersionMax="47" xr10:uidLastSave="{0C18056B-A4BA-4C4C-ADAC-F26F6953D992}"/>
  <bookViews>
    <workbookView xWindow="-120" yWindow="-120" windowWidth="38640" windowHeight="21120" xr2:uid="{8BD4D3E6-E2B6-4065-8B36-0F810D01E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4" i="1"/>
  <c r="G7" i="1"/>
  <c r="D9" i="1"/>
  <c r="E9" i="1" s="1"/>
  <c r="F9" i="1" s="1"/>
  <c r="K9" i="1" s="1"/>
  <c r="J9" i="1" l="1"/>
  <c r="D12" i="1"/>
  <c r="E12" i="1" s="1"/>
  <c r="F12" i="1" s="1"/>
  <c r="L9" i="1" l="1"/>
  <c r="M9" i="1" s="1"/>
</calcChain>
</file>

<file path=xl/sharedStrings.xml><?xml version="1.0" encoding="utf-8"?>
<sst xmlns="http://schemas.openxmlformats.org/spreadsheetml/2006/main" count="49" uniqueCount="44">
  <si>
    <t>CORNER</t>
  </si>
  <si>
    <t>cap</t>
  </si>
  <si>
    <t>t</t>
  </si>
  <si>
    <t>Coarse code 0 (fF)</t>
  </si>
  <si>
    <t>ratio var cmin/cvmax</t>
  </si>
  <si>
    <t>ind</t>
  </si>
  <si>
    <t>moscap</t>
  </si>
  <si>
    <t>temp</t>
  </si>
  <si>
    <t>supply</t>
  </si>
  <si>
    <t>typ</t>
  </si>
  <si>
    <t>% coarse min/max</t>
  </si>
  <si>
    <t>aux</t>
  </si>
  <si>
    <t>Coarse 0 (fF)</t>
  </si>
  <si>
    <t>Cvar/CTot</t>
  </si>
  <si>
    <t>Ccoarse/Ctot  - code dependent</t>
  </si>
  <si>
    <t>Cpar/Ctot</t>
  </si>
  <si>
    <t>n413</t>
  </si>
  <si>
    <t>TYP</t>
  </si>
  <si>
    <t>Coarse 63 (fF)</t>
  </si>
  <si>
    <t>frequency max (GHz)</t>
  </si>
  <si>
    <t>frequency min (GHz)</t>
  </si>
  <si>
    <t>indutor min (pH)</t>
  </si>
  <si>
    <t>inductor max (pH)</t>
  </si>
  <si>
    <t>Ctot min</t>
  </si>
  <si>
    <t>Ctot max</t>
  </si>
  <si>
    <t>Ctot min (fF)</t>
  </si>
  <si>
    <t>Ctot max (fF)</t>
  </si>
  <si>
    <t>25 / 26 for inductor</t>
  </si>
  <si>
    <t>Coarse code 63 (fF)</t>
  </si>
  <si>
    <t>Cvar max (fF) at min freq</t>
  </si>
  <si>
    <t>Cvar (fF) at min freq</t>
  </si>
  <si>
    <t>Q varactor</t>
  </si>
  <si>
    <t>Isto é para Fmin, onde o varactor se porta melhor</t>
  </si>
  <si>
    <t>M=13</t>
  </si>
  <si>
    <t>Cvar max (fF) at max freq</t>
  </si>
  <si>
    <t>Cvar (fF) at max freq</t>
  </si>
  <si>
    <t>Cpar (fF) obtido do esquematico</t>
  </si>
  <si>
    <t>parametro fixo</t>
  </si>
  <si>
    <t>[52,30], 40 at 25ºC</t>
  </si>
  <si>
    <t>Q &gt; 30</t>
  </si>
  <si>
    <t>Q &gt; 20</t>
  </si>
  <si>
    <t>[36.4,20], 27.6 at 25ºC</t>
  </si>
  <si>
    <t>KVCO = C_var_opt /Coarse (Fmin)</t>
  </si>
  <si>
    <t>KVCO C_var_opt /Coarse (Fmax)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</si>
</sst>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5" xfId="0" applyBorder="1"/>
    <xf numFmtId="11" fontId="0" fillId="0" borderId="0" xfId="0" applyNumberFormat="1"/>
    <xf numFmtId="164" fontId="0" fillId="0" borderId="0" xfId="0" applyNumberFormat="1"/>
    <xf numFmtId="9" fontId="0" fillId="0" borderId="0" xfId="1" applyFont="1" applyBorder="1"/>
    <xf numFmtId="0" fontId="2" fillId="0" borderId="4" xfId="0" applyFont="1" applyBorder="1"/>
    <xf numFmtId="2" fontId="0" fillId="0" borderId="0" xfId="0" applyNumberFormat="1"/>
    <xf numFmtId="0" fontId="3" fillId="0" borderId="0" xfId="0" applyFont="1"/>
    <xf numFmtId="9" fontId="0" fillId="2" borderId="0" xfId="1" applyFont="1" applyFill="1" applyBorder="1"/>
    <xf numFmtId="0" fontId="2" fillId="0" borderId="5" xfId="0" applyFont="1" applyBorder="1"/>
    <xf numFmtId="2" fontId="0" fillId="0" borderId="0" xfId="1" applyNumberFormat="1" applyFont="1" applyBorder="1"/>
    <xf numFmtId="2" fontId="0" fillId="0" borderId="5" xfId="0" applyNumberFormat="1" applyBorder="1"/>
    <xf numFmtId="0" fontId="0" fillId="0" borderId="6" xfId="0" applyBorder="1"/>
    <xf numFmtId="11" fontId="0" fillId="0" borderId="7" xfId="0" applyNumberFormat="1" applyBorder="1"/>
    <xf numFmtId="0" fontId="0" fillId="0" borderId="7" xfId="0" applyBorder="1"/>
    <xf numFmtId="2" fontId="0" fillId="0" borderId="7" xfId="1" applyNumberFormat="1" applyFont="1" applyBorder="1"/>
    <xf numFmtId="2" fontId="0" fillId="0" borderId="7" xfId="0" applyNumberFormat="1" applyBorder="1"/>
    <xf numFmtId="2" fontId="0" fillId="0" borderId="8" xfId="0" applyNumberFormat="1" applyBorder="1"/>
    <xf numFmtId="9" fontId="0" fillId="0" borderId="0" xfId="0" applyNumberFormat="1"/>
    <xf numFmtId="9" fontId="0" fillId="0" borderId="5" xfId="0" applyNumberForma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D0EF-0E28-4BC4-B010-95EDF2EC3C5D}">
  <dimension ref="A1:AB33"/>
  <sheetViews>
    <sheetView tabSelected="1" workbookViewId="0">
      <selection activeCell="O3" sqref="O3"/>
    </sheetView>
  </sheetViews>
  <sheetFormatPr defaultRowHeight="15" x14ac:dyDescent="0.25"/>
  <cols>
    <col min="1" max="1" width="21" bestFit="1" customWidth="1"/>
    <col min="2" max="2" width="25.42578125" bestFit="1" customWidth="1"/>
    <col min="3" max="3" width="23.85546875" bestFit="1" customWidth="1"/>
    <col min="4" max="4" width="19.85546875" bestFit="1" customWidth="1"/>
    <col min="5" max="5" width="20.5703125" customWidth="1"/>
    <col min="6" max="6" width="27.140625" customWidth="1"/>
    <col min="7" max="7" width="20.140625" customWidth="1"/>
    <col min="8" max="8" width="20.7109375" customWidth="1"/>
    <col min="9" max="9" width="16.140625" bestFit="1" customWidth="1"/>
    <col min="10" max="10" width="19.7109375" bestFit="1" customWidth="1"/>
    <col min="11" max="11" width="30.5703125" bestFit="1" customWidth="1"/>
    <col min="12" max="12" width="18" bestFit="1" customWidth="1"/>
    <col min="13" max="13" width="17.7109375" customWidth="1"/>
    <col min="14" max="14" width="16.85546875" bestFit="1" customWidth="1"/>
  </cols>
  <sheetData>
    <row r="1" spans="1:28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2" t="s">
        <v>16</v>
      </c>
      <c r="B2" s="5" t="s">
        <v>1</v>
      </c>
      <c r="C2" t="s">
        <v>2</v>
      </c>
      <c r="G2" s="6" t="s">
        <v>3</v>
      </c>
      <c r="J2" s="6" t="s">
        <v>4</v>
      </c>
      <c r="K2" s="7"/>
      <c r="M2" s="8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x14ac:dyDescent="0.25">
      <c r="A3" s="5"/>
      <c r="B3" s="5" t="s">
        <v>5</v>
      </c>
      <c r="C3" t="s">
        <v>2</v>
      </c>
      <c r="D3" s="6"/>
      <c r="G3" s="14">
        <v>208</v>
      </c>
      <c r="H3" t="s">
        <v>39</v>
      </c>
      <c r="J3" s="25">
        <v>0.36</v>
      </c>
      <c r="M3" s="8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5">
      <c r="A4" s="5"/>
      <c r="B4" s="5" t="s">
        <v>6</v>
      </c>
      <c r="C4" t="s">
        <v>2</v>
      </c>
      <c r="D4" s="6"/>
      <c r="E4" s="6"/>
      <c r="F4" s="6"/>
      <c r="G4" s="6" t="s">
        <v>28</v>
      </c>
      <c r="H4" s="6" t="s">
        <v>31</v>
      </c>
      <c r="M4" s="8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 x14ac:dyDescent="0.25">
      <c r="A5" s="5" t="s">
        <v>17</v>
      </c>
      <c r="B5" s="5" t="s">
        <v>7</v>
      </c>
      <c r="C5" t="s">
        <v>27</v>
      </c>
      <c r="D5" s="9"/>
      <c r="E5" s="10"/>
      <c r="F5" s="9"/>
      <c r="G5">
        <v>1000.07</v>
      </c>
      <c r="H5" t="s">
        <v>38</v>
      </c>
      <c r="J5" t="s">
        <v>32</v>
      </c>
      <c r="M5" s="8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x14ac:dyDescent="0.25">
      <c r="A6" s="5"/>
      <c r="B6" s="5" t="s">
        <v>8</v>
      </c>
      <c r="C6" t="s">
        <v>9</v>
      </c>
      <c r="E6" s="6"/>
      <c r="F6" s="6"/>
      <c r="G6" s="6" t="s">
        <v>10</v>
      </c>
      <c r="M6" s="8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 x14ac:dyDescent="0.25">
      <c r="A7" s="5"/>
      <c r="B7" s="5"/>
      <c r="E7" s="9"/>
      <c r="F7" s="9"/>
      <c r="G7" s="11">
        <f>G3/G5</f>
        <v>0.20798544101912866</v>
      </c>
      <c r="M7" s="8"/>
      <c r="N7" t="s">
        <v>33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x14ac:dyDescent="0.25">
      <c r="A8" s="12"/>
      <c r="B8" s="12" t="s">
        <v>20</v>
      </c>
      <c r="C8" s="6" t="s">
        <v>21</v>
      </c>
      <c r="D8" s="6" t="s">
        <v>11</v>
      </c>
      <c r="E8" s="6" t="s">
        <v>24</v>
      </c>
      <c r="F8" s="6" t="s">
        <v>26</v>
      </c>
      <c r="G8" s="6" t="s">
        <v>12</v>
      </c>
      <c r="H8" s="6" t="s">
        <v>29</v>
      </c>
      <c r="I8" s="6" t="s">
        <v>36</v>
      </c>
      <c r="J8" s="6" t="s">
        <v>13</v>
      </c>
      <c r="K8" s="6" t="s">
        <v>14</v>
      </c>
      <c r="L8" s="6" t="s">
        <v>15</v>
      </c>
      <c r="M8" s="8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x14ac:dyDescent="0.25">
      <c r="A9" s="5"/>
      <c r="B9" s="5">
        <v>8.5</v>
      </c>
      <c r="C9" s="13">
        <v>236.11</v>
      </c>
      <c r="D9">
        <f>1/((2*PI()*B9)^2)</f>
        <v>3.5059233094234524E-4</v>
      </c>
      <c r="E9">
        <f>D9/(C9*10^-12)</f>
        <v>1484868.6245493423</v>
      </c>
      <c r="F9">
        <f>E9/(1000000000000000000)*1000000000000000</f>
        <v>1484.8686245493425</v>
      </c>
      <c r="G9" s="14">
        <v>208</v>
      </c>
      <c r="H9" s="14">
        <v>253</v>
      </c>
      <c r="I9">
        <v>114.5</v>
      </c>
      <c r="J9" s="15">
        <f>H9/F9</f>
        <v>0.17038544408383974</v>
      </c>
      <c r="K9" s="15">
        <f>G12/F9</f>
        <v>0.67350739551353989</v>
      </c>
      <c r="L9" s="15">
        <f>I9/F9</f>
        <v>7.7111199002370151E-2</v>
      </c>
      <c r="M9" s="26">
        <f>SUM(J9+K9+L9)</f>
        <v>0.92100403859974977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 x14ac:dyDescent="0.25">
      <c r="A10" s="5"/>
      <c r="B10" s="5"/>
      <c r="K10" t="s">
        <v>37</v>
      </c>
      <c r="L10" t="s">
        <v>37</v>
      </c>
      <c r="M10" s="8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x14ac:dyDescent="0.25">
      <c r="A11" s="12"/>
      <c r="B11" s="12" t="s">
        <v>19</v>
      </c>
      <c r="C11" s="6" t="s">
        <v>22</v>
      </c>
      <c r="D11" s="6" t="s">
        <v>11</v>
      </c>
      <c r="E11" s="6" t="s">
        <v>23</v>
      </c>
      <c r="F11" s="6" t="s">
        <v>25</v>
      </c>
      <c r="G11" s="6" t="s">
        <v>18</v>
      </c>
      <c r="H11" s="6" t="s">
        <v>30</v>
      </c>
      <c r="I11" s="6"/>
      <c r="J11" s="6"/>
      <c r="K11" s="6"/>
      <c r="L11" s="6"/>
      <c r="M11" s="16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x14ac:dyDescent="0.25">
      <c r="A12" s="5"/>
      <c r="B12">
        <v>12.3</v>
      </c>
      <c r="C12" s="10">
        <v>236.69</v>
      </c>
      <c r="D12">
        <f>1/((2*PI()*B12)^2)</f>
        <v>1.6742875213553068E-4</v>
      </c>
      <c r="E12">
        <f>D12/(C12*10^-12)</f>
        <v>707375.69029334025</v>
      </c>
      <c r="F12">
        <f>E12/(1000000000000000000)*1000000000000000</f>
        <v>707.3756902933402</v>
      </c>
      <c r="G12">
        <v>1000.07</v>
      </c>
      <c r="H12">
        <v>181</v>
      </c>
      <c r="J12" s="17"/>
      <c r="K12" s="13"/>
      <c r="M12" s="18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x14ac:dyDescent="0.25">
      <c r="A13" s="5"/>
      <c r="B13" s="5"/>
      <c r="J13" s="28" t="s">
        <v>42</v>
      </c>
      <c r="K13" s="28"/>
      <c r="M13" s="8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x14ac:dyDescent="0.25">
      <c r="A14" s="12"/>
      <c r="B14" s="12"/>
      <c r="C14" s="6"/>
      <c r="D14" s="6"/>
      <c r="E14" s="6"/>
      <c r="F14" s="6"/>
      <c r="G14" s="6"/>
      <c r="H14" s="6"/>
      <c r="I14" s="6"/>
      <c r="J14" s="27">
        <f>(H12/SUM(G12+I9))*10000</f>
        <v>1623.9446602725714</v>
      </c>
      <c r="K14" s="27"/>
      <c r="L14" s="6"/>
      <c r="M14" s="16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 x14ac:dyDescent="0.25">
      <c r="A15" s="19"/>
      <c r="B15" s="19"/>
      <c r="C15" s="20"/>
      <c r="D15" s="21"/>
      <c r="E15" s="21"/>
      <c r="F15" s="21"/>
      <c r="G15" s="21"/>
      <c r="H15" s="21"/>
      <c r="I15" s="21"/>
      <c r="J15" s="22"/>
      <c r="K15" s="23"/>
      <c r="L15" s="21"/>
      <c r="M15" s="24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x14ac:dyDescent="0.25">
      <c r="J16" s="6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8:28" x14ac:dyDescent="0.25">
      <c r="H17" t="s">
        <v>40</v>
      </c>
      <c r="J17" s="25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8:28" x14ac:dyDescent="0.25">
      <c r="H18" s="6" t="s">
        <v>31</v>
      </c>
      <c r="I18" s="6"/>
      <c r="J18" s="6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8:28" x14ac:dyDescent="0.25">
      <c r="H19" t="s">
        <v>41</v>
      </c>
      <c r="J19" s="28" t="s">
        <v>43</v>
      </c>
      <c r="K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8:28" x14ac:dyDescent="0.25">
      <c r="J20" s="27">
        <f>(H26/SUM(G9+I9))*10000</f>
        <v>5612.4031007751937</v>
      </c>
      <c r="K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8:28" x14ac:dyDescent="0.25">
      <c r="I21" s="6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8:28" x14ac:dyDescent="0.25">
      <c r="H22" s="6" t="s">
        <v>34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8:28" x14ac:dyDescent="0.25">
      <c r="H23" s="14">
        <v>253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8:28" x14ac:dyDescent="0.25">
      <c r="J24" s="6"/>
      <c r="K24" s="6"/>
      <c r="L24" s="6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8:28" x14ac:dyDescent="0.25">
      <c r="H25" s="6" t="s">
        <v>35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8:28" x14ac:dyDescent="0.25">
      <c r="H26">
        <v>181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8:28" x14ac:dyDescent="0.25"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8:28" x14ac:dyDescent="0.25"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8:28" x14ac:dyDescent="0.25"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8:28" x14ac:dyDescent="0.25"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8:28" x14ac:dyDescent="0.25"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8:28" x14ac:dyDescent="0.25"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3:28" x14ac:dyDescent="0.25"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</sheetData>
  <mergeCells count="251">
    <mergeCell ref="J13:K13"/>
    <mergeCell ref="J19:K19"/>
    <mergeCell ref="J14:K14"/>
    <mergeCell ref="J20:K20"/>
    <mergeCell ref="U1:V1"/>
    <mergeCell ref="W1:X1"/>
    <mergeCell ref="Y1:Z1"/>
    <mergeCell ref="AA1:AB1"/>
    <mergeCell ref="O1:P1"/>
    <mergeCell ref="Q1:R1"/>
    <mergeCell ref="S1:T1"/>
    <mergeCell ref="U3:V3"/>
    <mergeCell ref="W3:X3"/>
    <mergeCell ref="Y3:Z3"/>
    <mergeCell ref="AA3:AB3"/>
    <mergeCell ref="AA2:AB2"/>
    <mergeCell ref="S3:T3"/>
    <mergeCell ref="O2:P2"/>
    <mergeCell ref="Q2:R2"/>
    <mergeCell ref="S2:T2"/>
    <mergeCell ref="U2:V2"/>
    <mergeCell ref="W2:X2"/>
    <mergeCell ref="Y2:Z2"/>
    <mergeCell ref="U5:V5"/>
    <mergeCell ref="W5:X5"/>
    <mergeCell ref="Y5:Z5"/>
    <mergeCell ref="AA5:AB5"/>
    <mergeCell ref="AA4:AB4"/>
    <mergeCell ref="O5:P5"/>
    <mergeCell ref="Q5:R5"/>
    <mergeCell ref="S5:T5"/>
    <mergeCell ref="O4:P4"/>
    <mergeCell ref="Q4:R4"/>
    <mergeCell ref="S4:T4"/>
    <mergeCell ref="U4:V4"/>
    <mergeCell ref="W4:X4"/>
    <mergeCell ref="Y4:Z4"/>
    <mergeCell ref="U7:V7"/>
    <mergeCell ref="W7:X7"/>
    <mergeCell ref="Y7:Z7"/>
    <mergeCell ref="AA7:AB7"/>
    <mergeCell ref="AA6:AB6"/>
    <mergeCell ref="O7:P7"/>
    <mergeCell ref="Q7:R7"/>
    <mergeCell ref="S7:T7"/>
    <mergeCell ref="O6:P6"/>
    <mergeCell ref="Q6:R6"/>
    <mergeCell ref="S6:T6"/>
    <mergeCell ref="U6:V6"/>
    <mergeCell ref="W6:X6"/>
    <mergeCell ref="Y6:Z6"/>
    <mergeCell ref="U9:V9"/>
    <mergeCell ref="W9:X9"/>
    <mergeCell ref="Y9:Z9"/>
    <mergeCell ref="AA9:AB9"/>
    <mergeCell ref="AA8:AB8"/>
    <mergeCell ref="O9:P9"/>
    <mergeCell ref="Q9:R9"/>
    <mergeCell ref="S9:T9"/>
    <mergeCell ref="O8:P8"/>
    <mergeCell ref="Q8:R8"/>
    <mergeCell ref="S8:T8"/>
    <mergeCell ref="U8:V8"/>
    <mergeCell ref="W8:X8"/>
    <mergeCell ref="Y8:Z8"/>
    <mergeCell ref="U11:V11"/>
    <mergeCell ref="W11:X11"/>
    <mergeCell ref="Y11:Z11"/>
    <mergeCell ref="AA11:AB11"/>
    <mergeCell ref="AA10:AB10"/>
    <mergeCell ref="O11:P11"/>
    <mergeCell ref="Q11:R11"/>
    <mergeCell ref="S11:T11"/>
    <mergeCell ref="O10:P10"/>
    <mergeCell ref="Q10:R10"/>
    <mergeCell ref="S10:T10"/>
    <mergeCell ref="U10:V10"/>
    <mergeCell ref="W10:X10"/>
    <mergeCell ref="Y10:Z10"/>
    <mergeCell ref="U13:V13"/>
    <mergeCell ref="W13:X13"/>
    <mergeCell ref="Y13:Z13"/>
    <mergeCell ref="AA13:AB13"/>
    <mergeCell ref="AA12:AB12"/>
    <mergeCell ref="O13:P13"/>
    <mergeCell ref="Q13:R13"/>
    <mergeCell ref="S13:T13"/>
    <mergeCell ref="O12:P12"/>
    <mergeCell ref="Q12:R12"/>
    <mergeCell ref="S12:T12"/>
    <mergeCell ref="U12:V12"/>
    <mergeCell ref="W12:X12"/>
    <mergeCell ref="Y12:Z12"/>
    <mergeCell ref="U15:V15"/>
    <mergeCell ref="W15:X15"/>
    <mergeCell ref="Y15:Z15"/>
    <mergeCell ref="AA15:AB15"/>
    <mergeCell ref="M16:N16"/>
    <mergeCell ref="AA14:AB14"/>
    <mergeCell ref="O15:P15"/>
    <mergeCell ref="Q15:R15"/>
    <mergeCell ref="S15:T15"/>
    <mergeCell ref="O14:P14"/>
    <mergeCell ref="Q14:R14"/>
    <mergeCell ref="S14:T14"/>
    <mergeCell ref="U14:V14"/>
    <mergeCell ref="W14:X14"/>
    <mergeCell ref="Y14:Z14"/>
    <mergeCell ref="U17:V17"/>
    <mergeCell ref="W17:X17"/>
    <mergeCell ref="Y17:Z17"/>
    <mergeCell ref="AA17:AB17"/>
    <mergeCell ref="M18:N18"/>
    <mergeCell ref="AA16:AB16"/>
    <mergeCell ref="M17:N17"/>
    <mergeCell ref="O17:P17"/>
    <mergeCell ref="Q17:R17"/>
    <mergeCell ref="S17:T17"/>
    <mergeCell ref="O16:P16"/>
    <mergeCell ref="Q16:R16"/>
    <mergeCell ref="S16:T16"/>
    <mergeCell ref="U16:V16"/>
    <mergeCell ref="W16:X16"/>
    <mergeCell ref="Y16:Z16"/>
    <mergeCell ref="U19:V19"/>
    <mergeCell ref="W19:X19"/>
    <mergeCell ref="Y19:Z19"/>
    <mergeCell ref="AA19:AB19"/>
    <mergeCell ref="M20:N20"/>
    <mergeCell ref="AA18:AB18"/>
    <mergeCell ref="M19:N19"/>
    <mergeCell ref="O19:P19"/>
    <mergeCell ref="Q19:R19"/>
    <mergeCell ref="S19:T19"/>
    <mergeCell ref="O18:P18"/>
    <mergeCell ref="Q18:R18"/>
    <mergeCell ref="S18:T18"/>
    <mergeCell ref="U18:V18"/>
    <mergeCell ref="W18:X18"/>
    <mergeCell ref="Y18:Z18"/>
    <mergeCell ref="U21:V21"/>
    <mergeCell ref="W21:X21"/>
    <mergeCell ref="Y21:Z21"/>
    <mergeCell ref="AA21:AB21"/>
    <mergeCell ref="M22:N22"/>
    <mergeCell ref="AA20:AB20"/>
    <mergeCell ref="M21:N21"/>
    <mergeCell ref="O21:P21"/>
    <mergeCell ref="Q21:R21"/>
    <mergeCell ref="S21:T21"/>
    <mergeCell ref="O20:P20"/>
    <mergeCell ref="Q20:R20"/>
    <mergeCell ref="S20:T20"/>
    <mergeCell ref="U20:V20"/>
    <mergeCell ref="W20:X20"/>
    <mergeCell ref="Y20:Z20"/>
    <mergeCell ref="U23:V23"/>
    <mergeCell ref="W23:X23"/>
    <mergeCell ref="Y23:Z23"/>
    <mergeCell ref="AA23:AB23"/>
    <mergeCell ref="M24:N24"/>
    <mergeCell ref="AA22:AB22"/>
    <mergeCell ref="M23:N23"/>
    <mergeCell ref="O23:P23"/>
    <mergeCell ref="Q23:R23"/>
    <mergeCell ref="S23:T23"/>
    <mergeCell ref="O22:P22"/>
    <mergeCell ref="Q22:R22"/>
    <mergeCell ref="S22:T22"/>
    <mergeCell ref="U22:V22"/>
    <mergeCell ref="W22:X22"/>
    <mergeCell ref="Y22:Z22"/>
    <mergeCell ref="U25:V25"/>
    <mergeCell ref="W25:X25"/>
    <mergeCell ref="Y25:Z25"/>
    <mergeCell ref="AA25:AB25"/>
    <mergeCell ref="M26:N26"/>
    <mergeCell ref="AA24:AB24"/>
    <mergeCell ref="M25:N25"/>
    <mergeCell ref="O25:P25"/>
    <mergeCell ref="Q25:R25"/>
    <mergeCell ref="S25:T25"/>
    <mergeCell ref="O24:P24"/>
    <mergeCell ref="Q24:R24"/>
    <mergeCell ref="S24:T24"/>
    <mergeCell ref="U24:V24"/>
    <mergeCell ref="W24:X24"/>
    <mergeCell ref="Y24:Z24"/>
    <mergeCell ref="U27:V27"/>
    <mergeCell ref="W27:X27"/>
    <mergeCell ref="Y27:Z27"/>
    <mergeCell ref="AA27:AB27"/>
    <mergeCell ref="M28:N28"/>
    <mergeCell ref="AA26:AB26"/>
    <mergeCell ref="M27:N27"/>
    <mergeCell ref="O27:P27"/>
    <mergeCell ref="Q27:R27"/>
    <mergeCell ref="S27:T27"/>
    <mergeCell ref="O26:P26"/>
    <mergeCell ref="Q26:R26"/>
    <mergeCell ref="S26:T26"/>
    <mergeCell ref="U26:V26"/>
    <mergeCell ref="W26:X26"/>
    <mergeCell ref="Y26:Z26"/>
    <mergeCell ref="U29:V29"/>
    <mergeCell ref="W29:X29"/>
    <mergeCell ref="Y29:Z29"/>
    <mergeCell ref="AA29:AB29"/>
    <mergeCell ref="M30:N30"/>
    <mergeCell ref="AA28:AB28"/>
    <mergeCell ref="M29:N29"/>
    <mergeCell ref="O29:P29"/>
    <mergeCell ref="Q29:R29"/>
    <mergeCell ref="S29:T29"/>
    <mergeCell ref="O28:P28"/>
    <mergeCell ref="Q28:R28"/>
    <mergeCell ref="S28:T28"/>
    <mergeCell ref="U28:V28"/>
    <mergeCell ref="W28:X28"/>
    <mergeCell ref="Y28:Z28"/>
    <mergeCell ref="U31:V31"/>
    <mergeCell ref="W31:X31"/>
    <mergeCell ref="Y31:Z31"/>
    <mergeCell ref="AA31:AB31"/>
    <mergeCell ref="M32:N32"/>
    <mergeCell ref="AA30:AB30"/>
    <mergeCell ref="M31:N31"/>
    <mergeCell ref="O31:P31"/>
    <mergeCell ref="Q31:R31"/>
    <mergeCell ref="S31:T31"/>
    <mergeCell ref="O30:P30"/>
    <mergeCell ref="Q30:R30"/>
    <mergeCell ref="S30:T30"/>
    <mergeCell ref="U30:V30"/>
    <mergeCell ref="W30:X30"/>
    <mergeCell ref="Y30:Z30"/>
    <mergeCell ref="U33:V33"/>
    <mergeCell ref="W33:X33"/>
    <mergeCell ref="Y33:Z33"/>
    <mergeCell ref="AA33:AB33"/>
    <mergeCell ref="AA32:AB32"/>
    <mergeCell ref="M33:N33"/>
    <mergeCell ref="O33:P33"/>
    <mergeCell ref="Q33:R33"/>
    <mergeCell ref="S33:T33"/>
    <mergeCell ref="O32:P32"/>
    <mergeCell ref="Q32:R32"/>
    <mergeCell ref="S32:T32"/>
    <mergeCell ref="U32:V32"/>
    <mergeCell ref="W32:X32"/>
    <mergeCell ref="Y32:Z3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33c9f88-1eb7-4099-9700-16013fd9e8aa}" enabled="0" method="" siteId="{c33c9f88-1eb7-4099-9700-16013fd9e8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Lopes</dc:creator>
  <cp:lastModifiedBy>Julio Alexandre Fernandes Lopes</cp:lastModifiedBy>
  <dcterms:created xsi:type="dcterms:W3CDTF">2026-04-01T10:11:15Z</dcterms:created>
  <dcterms:modified xsi:type="dcterms:W3CDTF">2026-07-02T15:24:53Z</dcterms:modified>
</cp:coreProperties>
</file>